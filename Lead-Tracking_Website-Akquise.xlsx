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eont\Desktop\"/>
    </mc:Choice>
  </mc:AlternateContent>
  <xr:revisionPtr revIDLastSave="0" documentId="8_{04120997-2FC6-4C1C-9019-1B350B465DDB}" xr6:coauthVersionLast="47" xr6:coauthVersionMax="47" xr10:uidLastSave="{00000000-0000-0000-0000-000000000000}"/>
  <bookViews>
    <workbookView xWindow="-120" yWindow="-120" windowWidth="38640" windowHeight="21120" tabRatio="500" xr2:uid="{00000000-000D-0000-FFFF-FFFF00000000}"/>
  </bookViews>
  <sheets>
    <sheet name="Leads" sheetId="1" r:id="rId1"/>
    <sheet name="Übersicht" sheetId="2" r:id="rId2"/>
    <sheet name="Checkliste &amp; Preise" sheetId="3" r:id="rId3"/>
  </sheets>
  <definedNames>
    <definedName name="_xlnm._FilterDatabase" localSheetId="0" hidden="1">Leads!$A$4:$P$64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4" i="2" l="1"/>
  <c r="B13" i="2"/>
  <c r="B11" i="2"/>
  <c r="B10" i="2"/>
  <c r="B9" i="2"/>
  <c r="B8" i="2"/>
  <c r="B7" i="2"/>
  <c r="B6" i="2"/>
  <c r="B5" i="2"/>
  <c r="B4" i="2"/>
</calcChain>
</file>

<file path=xl/sharedStrings.xml><?xml version="1.0" encoding="utf-8"?>
<sst xmlns="http://schemas.openxmlformats.org/spreadsheetml/2006/main" count="160" uniqueCount="94">
  <si>
    <t>Lead-Tracking – Website-Akquise</t>
  </si>
  <si>
    <t>Trage hier Interessenten ein. Gelbe Spalten haben Dropdowns.</t>
  </si>
  <si>
    <t>Firma / Name</t>
  </si>
  <si>
    <t>Branche</t>
  </si>
  <si>
    <t>Ort</t>
  </si>
  <si>
    <t>Telefon</t>
  </si>
  <si>
    <t>E-Mail</t>
  </si>
  <si>
    <t>Website vorhanden?</t>
  </si>
  <si>
    <t>Zustand Website</t>
  </si>
  <si>
    <t>Instagram?</t>
  </si>
  <si>
    <t>Quelle</t>
  </si>
  <si>
    <t>Status</t>
  </si>
  <si>
    <t>Priorität</t>
  </si>
  <si>
    <t>Letzter Kontakt</t>
  </si>
  <si>
    <t>Nächster Schritt</t>
  </si>
  <si>
    <t>Angebot (€ Setup)</t>
  </si>
  <si>
    <t>Angebot (€/Monat)</t>
  </si>
  <si>
    <t>Notizen</t>
  </si>
  <si>
    <t>Beispiel: Barber Müller</t>
  </si>
  <si>
    <t>Barbershop</t>
  </si>
  <si>
    <t>Frankfurt</t>
  </si>
  <si>
    <t>069 1234567</t>
  </si>
  <si>
    <t>info@barber-mueller.de</t>
  </si>
  <si>
    <t>Nein</t>
  </si>
  <si>
    <t>—</t>
  </si>
  <si>
    <t>Ja</t>
  </si>
  <si>
    <t>Google Maps</t>
  </si>
  <si>
    <t>Noch nicht kontaktiert</t>
  </si>
  <si>
    <t>Hoch</t>
  </si>
  <si>
    <t>Vor Ort vorbeigehen</t>
  </si>
  <si>
    <t>Keine Website, aktiver Insta-Account</t>
  </si>
  <si>
    <t>Übersicht</t>
  </si>
  <si>
    <t>Anzahl</t>
  </si>
  <si>
    <t>Kontaktiert</t>
  </si>
  <si>
    <t>Demo gezeigt</t>
  </si>
  <si>
    <t>Angebot raus</t>
  </si>
  <si>
    <t>In Verhandlung</t>
  </si>
  <si>
    <t>Kunde gewonnen</t>
  </si>
  <si>
    <t>Abgesagt</t>
  </si>
  <si>
    <t>Gesamt Leads</t>
  </si>
  <si>
    <t>Monatlicher Umsatz gewonnener Kunden</t>
  </si>
  <si>
    <t>Setup-Umsatz (einmalig)</t>
  </si>
  <si>
    <t>Wiederkehrend (€/Monat)</t>
  </si>
  <si>
    <t>Startup-Checkliste &amp; Preis-Orientierung</t>
  </si>
  <si>
    <t>Bevor du den ersten bezahlten Auftrag annimmst</t>
  </si>
  <si>
    <t>☐</t>
  </si>
  <si>
    <t>Gewerbe beim Gewerbeamt anmelden (Webservices = Gewerbe, ~20–60 €)</t>
  </si>
  <si>
    <t>Kleinunternehmerregelung §19 UStG prüfen (mit Finanzamt/Steuerberater)</t>
  </si>
  <si>
    <t>Geschäftskonto / getrennte Buchhaltung einrichten</t>
  </si>
  <si>
    <t>Einfache Vertragsvorlage für Kunden erstellen (Laufzeit, Kündigung, Domain-Eigentum)</t>
  </si>
  <si>
    <t>Impressum + Datenschutzerklärung für eigene Website</t>
  </si>
  <si>
    <t>IHK-Gründungsberatung anfragen (oft kostenlos)</t>
  </si>
  <si>
    <t>Pro Kundenprojekt beachten</t>
  </si>
  <si>
    <t>Impressum + DSGVO-Datenschutzerklärung für die Kunden-Website</t>
  </si>
  <si>
    <t>Kontaktformular DSGVO-konform (Einwilligung, Verschlüsselung)</t>
  </si>
  <si>
    <t>Cookie-Banner falls Tracking/Karten/Fonts extern geladen werden</t>
  </si>
  <si>
    <t>Domain-Registrierung klären – wem gehört sie bei Kündigung?</t>
  </si>
  <si>
    <t>Bei Arztpraxen: besondere Sorgfalt (Heilmittelwerbegesetz, keine sensiblen Daten im Formular)</t>
  </si>
  <si>
    <t>Preis-Orientierung (DACH, kleine lokale Betriebe)</t>
  </si>
  <si>
    <t>Setup einmalig: ca. 300–800 €</t>
  </si>
  <si>
    <t>Miete monatlich: ca. 30–80 € (Hosting, Domain, Wartung, kleine Änderungen)</t>
  </si>
  <si>
    <t>Inklusiv-Leistung definieren, z.B. '2 kleine Änderungen/Monat'</t>
  </si>
  <si>
    <t>Extras separat: Buchungssystem, Mehrsprachigkeit, SEO-Betreuung</t>
  </si>
  <si>
    <t>Eigene laufende Kosten kalkulieren: Domain ~10–15 €/Jahr, Hosting, E-Mail</t>
  </si>
  <si>
    <t>Akquise-Ablauf</t>
  </si>
  <si>
    <t>Google Maps: Betriebe ohne/mit veralteter Website sammeln (beste Leads)</t>
  </si>
  <si>
    <t>Branchen-Demo passend zeigen (Barbershop / Arzt / Handwerk)</t>
  </si>
  <si>
    <t>Vor Ort, Telefon oder personalisierte Mail mit Demo-Link</t>
  </si>
  <si>
    <t>PDF-Briefing im Erstgespräch nutzen</t>
  </si>
  <si>
    <t>Status sauber in diese Liste eintragen</t>
  </si>
  <si>
    <t>Hinweis: Keine Rechts-/Steuerberatung. Details mit Steuerberater, Anwalt oder IHK klären.</t>
  </si>
  <si>
    <t>Müller's Beauty &amp; Barber Shop</t>
  </si>
  <si>
    <t>Sankt Wendel</t>
  </si>
  <si>
    <t>06851 840133</t>
  </si>
  <si>
    <t>Keine</t>
  </si>
  <si>
    <t>VIP Barbershop</t>
  </si>
  <si>
    <t>0176 72594167</t>
  </si>
  <si>
    <t>Unbekannt</t>
  </si>
  <si>
    <t>Kurdo Friseur Salon</t>
  </si>
  <si>
    <t>06851 9381102</t>
  </si>
  <si>
    <t>Haarsalon Edessa</t>
  </si>
  <si>
    <t>06851 9123910</t>
  </si>
  <si>
    <t>Lena Fauss Haare &amp; Make-up</t>
  </si>
  <si>
    <t>Friseur</t>
  </si>
  <si>
    <t>06851 8024888</t>
  </si>
  <si>
    <t>Okay</t>
  </si>
  <si>
    <t>Friseursalon Ourfali</t>
  </si>
  <si>
    <t>0179 8152750</t>
  </si>
  <si>
    <t>06851 800733</t>
  </si>
  <si>
    <t>Voborsky Haartradition</t>
  </si>
  <si>
    <t>BarberShop St.Wendel</t>
  </si>
  <si>
    <t>Gut</t>
  </si>
  <si>
    <t>info@barbershop-stwendel.de</t>
  </si>
  <si>
    <t>haartradition@voborsky.de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</si>
</sst>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&quot; €&quot;;\-#,##0&quot; €&quot;;\-"/>
    <numFmt numFmtId="165" formatCode="#,##0&quot; €&quot;"/>
  </numFmts>
  <fonts count="13" x14ac:knownFonts="1">
    <font>
      <sz val="11"/>
      <color theme="1"/>
      <name val="Calibri"/>
      <family val="2"/>
      <charset val="1"/>
    </font>
    <font>
      <b/>
      <sz val="16"/>
      <color rgb="FF2F5496"/>
      <name val="Arial"/>
      <charset val="1"/>
    </font>
    <font>
      <i/>
      <sz val="10"/>
      <color rgb="FF808080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2"/>
      <color rgb="FF2F5496"/>
      <name val="Arial"/>
      <charset val="1"/>
    </font>
    <font>
      <sz val="11"/>
      <name val="Arial"/>
      <charset val="1"/>
    </font>
    <font>
      <sz val="10"/>
      <color rgb="FF333333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charset val="1"/>
    </font>
    <font>
      <sz val="11"/>
      <color rgb="FF050505"/>
      <name val="Segoe UI Historic"/>
      <family val="2"/>
    </font>
    <font>
      <sz val="13"/>
      <color rgb="FFB2966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164" fontId="4" fillId="0" borderId="1" xfId="0" applyNumberFormat="1" applyFont="1" applyBorder="1" applyAlignment="1">
      <alignment vertical="center"/>
    </xf>
    <xf numFmtId="0" fontId="3" fillId="2" borderId="1" xfId="0" applyFont="1" applyFill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6" fillId="0" borderId="0" xfId="0" applyFont="1"/>
    <xf numFmtId="0" fontId="4" fillId="0" borderId="0" xfId="0" applyFont="1"/>
    <xf numFmtId="165" fontId="4" fillId="0" borderId="0" xfId="0" applyNumberFormat="1" applyFont="1"/>
    <xf numFmtId="0" fontId="7" fillId="0" borderId="0" xfId="0" applyFont="1"/>
    <xf numFmtId="0" fontId="4" fillId="0" borderId="0" xfId="0" applyFont="1" applyAlignment="1">
      <alignment vertical="center" wrapText="1"/>
    </xf>
    <xf numFmtId="0" fontId="8" fillId="0" borderId="0" xfId="0" applyFont="1" applyAlignment="1">
      <alignment horizontal="left" vertical="center" wrapText="1"/>
    </xf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 wrapText="1"/>
    </xf>
    <xf numFmtId="0" fontId="10" fillId="0" borderId="0" xfId="1"/>
    <xf numFmtId="0" fontId="11" fillId="0" borderId="0" xfId="0" applyFont="1"/>
    <xf numFmtId="0" fontId="12" fillId="0" borderId="0" xfId="0" applyFon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tel:068519123910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tel:068519381102" TargetMode="External"/><Relationship Id="rId1" Type="http://schemas.openxmlformats.org/officeDocument/2006/relationships/hyperlink" Target="tel:017672594167" TargetMode="External"/><Relationship Id="rId6" Type="http://schemas.openxmlformats.org/officeDocument/2006/relationships/hyperlink" Target="mailto:haartradition@voborsky.de" TargetMode="External"/><Relationship Id="rId5" Type="http://schemas.openxmlformats.org/officeDocument/2006/relationships/hyperlink" Target="mailto:info@barbershop-stwendel.de" TargetMode="External"/><Relationship Id="rId4" Type="http://schemas.openxmlformats.org/officeDocument/2006/relationships/hyperlink" Target="tel:0685180248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4"/>
  <sheetViews>
    <sheetView tabSelected="1" zoomScaleNormal="100" workbookViewId="0">
      <pane ySplit="4" topLeftCell="A5" activePane="bottomLeft" state="frozen"/>
      <selection pane="bottomLeft" activeCell="B15" sqref="B15"/>
    </sheetView>
  </sheetViews>
  <sheetFormatPr baseColWidth="10" defaultColWidth="8.7109375" defaultRowHeight="15" x14ac:dyDescent="0.25"/>
  <cols>
    <col min="1" max="1" width="26" customWidth="1"/>
    <col min="2" max="4" width="16" customWidth="1"/>
    <col min="5" max="5" width="24" customWidth="1"/>
    <col min="6" max="7" width="16" customWidth="1"/>
    <col min="8" max="8" width="12" customWidth="1"/>
    <col min="9" max="9" width="14" customWidth="1"/>
    <col min="10" max="10" width="16" customWidth="1"/>
    <col min="11" max="11" width="12" customWidth="1"/>
    <col min="12" max="12" width="16" customWidth="1"/>
    <col min="13" max="13" width="24" customWidth="1"/>
    <col min="14" max="15" width="16" customWidth="1"/>
    <col min="16" max="16" width="36" customWidth="1"/>
  </cols>
  <sheetData>
    <row r="1" spans="1:16" ht="20.25" x14ac:dyDescent="0.3">
      <c r="A1" s="1" t="s">
        <v>0</v>
      </c>
    </row>
    <row r="2" spans="1:16" x14ac:dyDescent="0.25">
      <c r="A2" s="2" t="s">
        <v>1</v>
      </c>
    </row>
    <row r="4" spans="1:16" ht="30" customHeigh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</row>
    <row r="5" spans="1:16" x14ac:dyDescent="0.25">
      <c r="A5" s="4" t="s">
        <v>18</v>
      </c>
      <c r="B5" s="4" t="s">
        <v>19</v>
      </c>
      <c r="C5" s="4" t="s">
        <v>20</v>
      </c>
      <c r="D5" s="4" t="s">
        <v>21</v>
      </c>
      <c r="E5" s="4" t="s">
        <v>22</v>
      </c>
      <c r="F5" s="4" t="s">
        <v>23</v>
      </c>
      <c r="G5" s="4" t="s">
        <v>24</v>
      </c>
      <c r="H5" s="4" t="s">
        <v>25</v>
      </c>
      <c r="I5" s="4" t="s">
        <v>26</v>
      </c>
      <c r="J5" s="4" t="s">
        <v>27</v>
      </c>
      <c r="K5" s="4" t="s">
        <v>28</v>
      </c>
      <c r="L5" s="4"/>
      <c r="M5" s="4" t="s">
        <v>29</v>
      </c>
      <c r="N5" s="5">
        <v>500</v>
      </c>
      <c r="O5" s="5">
        <v>49</v>
      </c>
      <c r="P5" s="6" t="s">
        <v>30</v>
      </c>
    </row>
    <row r="6" spans="1:16" ht="25.5" x14ac:dyDescent="0.25">
      <c r="A6" s="20" t="s">
        <v>71</v>
      </c>
      <c r="B6" s="21" t="s">
        <v>19</v>
      </c>
      <c r="C6" s="21" t="s">
        <v>72</v>
      </c>
      <c r="D6" s="21" t="s">
        <v>73</v>
      </c>
      <c r="E6" s="7"/>
      <c r="F6" s="7" t="s">
        <v>23</v>
      </c>
      <c r="G6" s="7" t="s">
        <v>74</v>
      </c>
      <c r="H6" s="7" t="s">
        <v>25</v>
      </c>
      <c r="I6" s="7"/>
      <c r="J6" s="7" t="s">
        <v>27</v>
      </c>
      <c r="K6" s="7" t="s">
        <v>28</v>
      </c>
      <c r="L6" s="7"/>
      <c r="M6" s="22" t="s">
        <v>6</v>
      </c>
      <c r="N6" s="9"/>
      <c r="O6" s="9"/>
      <c r="P6" s="8"/>
    </row>
    <row r="7" spans="1:16" x14ac:dyDescent="0.25">
      <c r="A7" s="21" t="s">
        <v>75</v>
      </c>
      <c r="B7" s="21" t="s">
        <v>19</v>
      </c>
      <c r="C7" s="21" t="s">
        <v>72</v>
      </c>
      <c r="D7" s="23" t="s">
        <v>76</v>
      </c>
      <c r="E7" s="7"/>
      <c r="F7" s="7" t="s">
        <v>23</v>
      </c>
      <c r="G7" s="7" t="s">
        <v>74</v>
      </c>
      <c r="H7" s="7" t="s">
        <v>77</v>
      </c>
      <c r="I7" s="7"/>
      <c r="J7" s="7" t="s">
        <v>27</v>
      </c>
      <c r="K7" s="7"/>
      <c r="L7" s="7"/>
      <c r="M7" s="8"/>
      <c r="N7" s="9"/>
      <c r="O7" s="9"/>
      <c r="P7" s="8"/>
    </row>
    <row r="8" spans="1:16" x14ac:dyDescent="0.25">
      <c r="A8" s="21" t="s">
        <v>78</v>
      </c>
      <c r="B8" s="21" t="s">
        <v>19</v>
      </c>
      <c r="C8" s="21" t="s">
        <v>72</v>
      </c>
      <c r="D8" s="23" t="s">
        <v>79</v>
      </c>
      <c r="E8" s="7"/>
      <c r="F8" s="7" t="s">
        <v>23</v>
      </c>
      <c r="G8" s="7" t="s">
        <v>74</v>
      </c>
      <c r="H8" s="7" t="s">
        <v>77</v>
      </c>
      <c r="I8" s="7"/>
      <c r="J8" s="7" t="s">
        <v>27</v>
      </c>
      <c r="K8" s="7"/>
      <c r="L8" s="7"/>
      <c r="M8" s="8"/>
      <c r="N8" s="9"/>
      <c r="O8" s="9"/>
      <c r="P8" s="8"/>
    </row>
    <row r="9" spans="1:16" x14ac:dyDescent="0.25">
      <c r="A9" s="21" t="s">
        <v>80</v>
      </c>
      <c r="B9" s="21" t="s">
        <v>19</v>
      </c>
      <c r="C9" s="21" t="s">
        <v>72</v>
      </c>
      <c r="D9" s="23" t="s">
        <v>81</v>
      </c>
      <c r="E9" s="7"/>
      <c r="F9" s="7" t="s">
        <v>23</v>
      </c>
      <c r="G9" s="7" t="s">
        <v>74</v>
      </c>
      <c r="H9" s="7" t="s">
        <v>77</v>
      </c>
      <c r="I9" s="7"/>
      <c r="J9" s="7" t="s">
        <v>27</v>
      </c>
      <c r="K9" s="7"/>
      <c r="L9" s="7"/>
      <c r="M9" s="8"/>
      <c r="N9" s="9"/>
      <c r="O9" s="9"/>
      <c r="P9" s="8"/>
    </row>
    <row r="10" spans="1:16" x14ac:dyDescent="0.25">
      <c r="A10" s="21" t="s">
        <v>82</v>
      </c>
      <c r="B10" s="21" t="s">
        <v>83</v>
      </c>
      <c r="C10" s="21" t="s">
        <v>72</v>
      </c>
      <c r="D10" s="23" t="s">
        <v>84</v>
      </c>
      <c r="E10" s="7"/>
      <c r="F10" s="7" t="s">
        <v>25</v>
      </c>
      <c r="G10" s="21" t="s">
        <v>85</v>
      </c>
      <c r="H10" s="7" t="s">
        <v>25</v>
      </c>
      <c r="I10" s="7"/>
      <c r="J10" s="7" t="s">
        <v>27</v>
      </c>
      <c r="K10" s="7"/>
      <c r="L10" s="7"/>
      <c r="M10" s="8"/>
      <c r="N10" s="9"/>
      <c r="O10" s="9"/>
      <c r="P10" s="8"/>
    </row>
    <row r="11" spans="1:16" ht="16.5" x14ac:dyDescent="0.3">
      <c r="A11" s="21" t="s">
        <v>86</v>
      </c>
      <c r="B11" s="21" t="s">
        <v>19</v>
      </c>
      <c r="C11" s="21" t="s">
        <v>72</v>
      </c>
      <c r="D11" s="24" t="s">
        <v>87</v>
      </c>
      <c r="E11" s="7"/>
      <c r="F11" s="7" t="s">
        <v>23</v>
      </c>
      <c r="G11" s="7" t="s">
        <v>74</v>
      </c>
      <c r="H11" s="7" t="s">
        <v>23</v>
      </c>
      <c r="I11" s="7"/>
      <c r="J11" s="7" t="s">
        <v>27</v>
      </c>
      <c r="K11" s="7"/>
      <c r="L11" s="7"/>
      <c r="M11" s="8"/>
      <c r="N11" s="9"/>
      <c r="O11" s="9"/>
      <c r="P11" s="8"/>
    </row>
    <row r="12" spans="1:16" ht="16.5" x14ac:dyDescent="0.25">
      <c r="A12" s="21" t="s">
        <v>89</v>
      </c>
      <c r="B12" s="21" t="s">
        <v>83</v>
      </c>
      <c r="C12" s="21" t="s">
        <v>72</v>
      </c>
      <c r="D12" s="25" t="s">
        <v>88</v>
      </c>
      <c r="E12" s="23" t="s">
        <v>93</v>
      </c>
      <c r="F12" s="7" t="s">
        <v>25</v>
      </c>
      <c r="G12" s="7" t="s">
        <v>91</v>
      </c>
      <c r="H12" s="7" t="s">
        <v>25</v>
      </c>
      <c r="I12" s="7"/>
      <c r="J12" s="7" t="s">
        <v>27</v>
      </c>
      <c r="K12" s="7"/>
      <c r="L12" s="7"/>
      <c r="M12" s="8"/>
      <c r="N12" s="9"/>
      <c r="O12" s="9"/>
      <c r="P12" s="8"/>
    </row>
    <row r="13" spans="1:16" x14ac:dyDescent="0.25">
      <c r="A13" s="21" t="s">
        <v>90</v>
      </c>
      <c r="B13" s="21" t="s">
        <v>19</v>
      </c>
      <c r="C13" s="21" t="s">
        <v>72</v>
      </c>
      <c r="D13" s="7">
        <v>68519121323</v>
      </c>
      <c r="E13" s="23" t="s">
        <v>92</v>
      </c>
      <c r="F13" s="7" t="s">
        <v>25</v>
      </c>
      <c r="G13" s="7" t="s">
        <v>91</v>
      </c>
      <c r="H13" s="7" t="s">
        <v>25</v>
      </c>
      <c r="I13" s="7"/>
      <c r="J13" s="7" t="s">
        <v>27</v>
      </c>
      <c r="K13" s="7"/>
      <c r="L13" s="7"/>
      <c r="M13" s="8"/>
      <c r="N13" s="9"/>
      <c r="O13" s="9"/>
      <c r="P13" s="8"/>
    </row>
    <row r="14" spans="1:16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8"/>
      <c r="N14" s="9"/>
      <c r="O14" s="9"/>
      <c r="P14" s="8"/>
    </row>
    <row r="15" spans="1:16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8"/>
      <c r="N15" s="9"/>
      <c r="O15" s="9"/>
      <c r="P15" s="8"/>
    </row>
    <row r="16" spans="1:16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8"/>
      <c r="N16" s="9"/>
      <c r="O16" s="9"/>
      <c r="P16" s="8"/>
    </row>
    <row r="17" spans="1:16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8"/>
      <c r="N17" s="9"/>
      <c r="O17" s="9"/>
      <c r="P17" s="8"/>
    </row>
    <row r="18" spans="1:16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8"/>
      <c r="N18" s="9"/>
      <c r="O18" s="9"/>
      <c r="P18" s="8"/>
    </row>
    <row r="19" spans="1:16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8"/>
      <c r="N19" s="9"/>
      <c r="O19" s="9"/>
      <c r="P19" s="8"/>
    </row>
    <row r="20" spans="1:16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8"/>
      <c r="N20" s="9"/>
      <c r="O20" s="9"/>
      <c r="P20" s="8"/>
    </row>
    <row r="21" spans="1:16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8"/>
      <c r="N21" s="9"/>
      <c r="O21" s="9"/>
      <c r="P21" s="8"/>
    </row>
    <row r="22" spans="1:16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8"/>
      <c r="N22" s="9"/>
      <c r="O22" s="9"/>
      <c r="P22" s="8"/>
    </row>
    <row r="23" spans="1:16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8"/>
      <c r="N23" s="9"/>
      <c r="O23" s="9"/>
      <c r="P23" s="8"/>
    </row>
    <row r="24" spans="1:16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8"/>
      <c r="N24" s="9"/>
      <c r="O24" s="9"/>
      <c r="P24" s="8"/>
    </row>
    <row r="25" spans="1:16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8"/>
      <c r="N25" s="9"/>
      <c r="O25" s="9"/>
      <c r="P25" s="8"/>
    </row>
    <row r="26" spans="1:16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8"/>
      <c r="N26" s="9"/>
      <c r="O26" s="9"/>
      <c r="P26" s="8"/>
    </row>
    <row r="27" spans="1:16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8"/>
      <c r="N27" s="9"/>
      <c r="O27" s="9"/>
      <c r="P27" s="8"/>
    </row>
    <row r="28" spans="1:16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8"/>
      <c r="N28" s="9"/>
      <c r="O28" s="9"/>
      <c r="P28" s="8"/>
    </row>
    <row r="29" spans="1:16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8"/>
      <c r="N29" s="9"/>
      <c r="O29" s="9"/>
      <c r="P29" s="8"/>
    </row>
    <row r="30" spans="1:16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8"/>
      <c r="N30" s="9"/>
      <c r="O30" s="9"/>
      <c r="P30" s="8"/>
    </row>
    <row r="31" spans="1:16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8"/>
      <c r="N31" s="9"/>
      <c r="O31" s="9"/>
      <c r="P31" s="8"/>
    </row>
    <row r="32" spans="1:16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8"/>
      <c r="N32" s="9"/>
      <c r="O32" s="9"/>
      <c r="P32" s="8"/>
    </row>
    <row r="33" spans="1:16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8"/>
      <c r="N33" s="9"/>
      <c r="O33" s="9"/>
      <c r="P33" s="8"/>
    </row>
    <row r="34" spans="1:16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8"/>
      <c r="N34" s="9"/>
      <c r="O34" s="9"/>
      <c r="P34" s="8"/>
    </row>
    <row r="35" spans="1:16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8"/>
      <c r="N35" s="9"/>
      <c r="O35" s="9"/>
      <c r="P35" s="8"/>
    </row>
    <row r="36" spans="1:16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8"/>
      <c r="N36" s="9"/>
      <c r="O36" s="9"/>
      <c r="P36" s="8"/>
    </row>
    <row r="37" spans="1:16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8"/>
      <c r="N37" s="9"/>
      <c r="O37" s="9"/>
      <c r="P37" s="8"/>
    </row>
    <row r="38" spans="1:16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8"/>
      <c r="N38" s="9"/>
      <c r="O38" s="9"/>
      <c r="P38" s="8"/>
    </row>
    <row r="39" spans="1:16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8"/>
      <c r="N39" s="9"/>
      <c r="O39" s="9"/>
      <c r="P39" s="8"/>
    </row>
    <row r="40" spans="1:16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8"/>
      <c r="N40" s="9"/>
      <c r="O40" s="9"/>
      <c r="P40" s="8"/>
    </row>
    <row r="41" spans="1:16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8"/>
      <c r="N41" s="9"/>
      <c r="O41" s="9"/>
      <c r="P41" s="8"/>
    </row>
    <row r="42" spans="1:16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8"/>
      <c r="N42" s="9"/>
      <c r="O42" s="9"/>
      <c r="P42" s="8"/>
    </row>
    <row r="43" spans="1:16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8"/>
      <c r="N43" s="9"/>
      <c r="O43" s="9"/>
      <c r="P43" s="8"/>
    </row>
    <row r="44" spans="1:16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8"/>
      <c r="N44" s="9"/>
      <c r="O44" s="9"/>
      <c r="P44" s="8"/>
    </row>
    <row r="45" spans="1:16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8"/>
      <c r="N45" s="9"/>
      <c r="O45" s="9"/>
      <c r="P45" s="8"/>
    </row>
    <row r="46" spans="1:16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8"/>
      <c r="N46" s="9"/>
      <c r="O46" s="9"/>
      <c r="P46" s="8"/>
    </row>
    <row r="47" spans="1:16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8"/>
      <c r="N47" s="9"/>
      <c r="O47" s="9"/>
      <c r="P47" s="8"/>
    </row>
    <row r="48" spans="1:16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8"/>
      <c r="N48" s="9"/>
      <c r="O48" s="9"/>
      <c r="P48" s="8"/>
    </row>
    <row r="49" spans="1:16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8"/>
      <c r="N49" s="9"/>
      <c r="O49" s="9"/>
      <c r="P49" s="8"/>
    </row>
    <row r="50" spans="1:16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8"/>
      <c r="N50" s="9"/>
      <c r="O50" s="9"/>
      <c r="P50" s="8"/>
    </row>
    <row r="51" spans="1:16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8"/>
      <c r="N51" s="9"/>
      <c r="O51" s="9"/>
      <c r="P51" s="8"/>
    </row>
    <row r="52" spans="1:16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8"/>
      <c r="N52" s="9"/>
      <c r="O52" s="9"/>
      <c r="P52" s="8"/>
    </row>
    <row r="53" spans="1:16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8"/>
      <c r="N53" s="9"/>
      <c r="O53" s="9"/>
      <c r="P53" s="8"/>
    </row>
    <row r="54" spans="1:16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8"/>
      <c r="N54" s="9"/>
      <c r="O54" s="9"/>
      <c r="P54" s="8"/>
    </row>
    <row r="55" spans="1:16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8"/>
      <c r="N55" s="9"/>
      <c r="O55" s="9"/>
      <c r="P55" s="8"/>
    </row>
    <row r="56" spans="1:16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8"/>
      <c r="N56" s="9"/>
      <c r="O56" s="9"/>
      <c r="P56" s="8"/>
    </row>
    <row r="57" spans="1:16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8"/>
      <c r="N57" s="9"/>
      <c r="O57" s="9"/>
      <c r="P57" s="8"/>
    </row>
    <row r="58" spans="1:16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8"/>
      <c r="N58" s="9"/>
      <c r="O58" s="9"/>
      <c r="P58" s="8"/>
    </row>
    <row r="59" spans="1:16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8"/>
      <c r="N59" s="9"/>
      <c r="O59" s="9"/>
      <c r="P59" s="8"/>
    </row>
    <row r="60" spans="1:16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8"/>
      <c r="N60" s="9"/>
      <c r="O60" s="9"/>
      <c r="P60" s="8"/>
    </row>
    <row r="61" spans="1:16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8"/>
      <c r="N61" s="9"/>
      <c r="O61" s="9"/>
      <c r="P61" s="8"/>
    </row>
    <row r="62" spans="1:16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8"/>
      <c r="N62" s="9"/>
      <c r="O62" s="9"/>
      <c r="P62" s="8"/>
    </row>
    <row r="63" spans="1:16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8"/>
      <c r="N63" s="9"/>
      <c r="O63" s="9"/>
      <c r="P63" s="8"/>
    </row>
    <row r="64" spans="1:16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8"/>
      <c r="N64" s="9"/>
      <c r="O64" s="9"/>
      <c r="P64" s="8"/>
    </row>
  </sheetData>
  <autoFilter ref="A4:P64" xr:uid="{00000000-0009-0000-0000-000000000000}"/>
  <dataValidations count="5">
    <dataValidation type="list" allowBlank="1" sqref="F5:F64 H5:H64" xr:uid="{00000000-0002-0000-0000-000000000000}">
      <formula1>"Ja,Nein,Unbekannt"</formula1>
      <formula2>0</formula2>
    </dataValidation>
    <dataValidation type="list" allowBlank="1" sqref="G5:G64" xr:uid="{00000000-0002-0000-0000-000001000000}">
      <formula1>"Keine,Veraltet,Okay,Gut,—"</formula1>
      <formula2>0</formula2>
    </dataValidation>
    <dataValidation type="list" allowBlank="1" sqref="I5:I64" xr:uid="{00000000-0002-0000-0000-000003000000}">
      <formula1>"Google Maps,Empfehlung,Vor Ort,Insta,Sonstiges"</formula1>
      <formula2>0</formula2>
    </dataValidation>
    <dataValidation type="list" allowBlank="1" sqref="J5:J64" xr:uid="{00000000-0002-0000-0000-000004000000}">
      <formula1>"Noch nicht kontaktiert,Kontaktiert,Demo gezeigt,Angebot raus,In Verhandlung,Kunde gewonnen,Abgesagt"</formula1>
      <formula2>0</formula2>
    </dataValidation>
    <dataValidation type="list" allowBlank="1" sqref="K5:K64" xr:uid="{00000000-0002-0000-0000-000005000000}">
      <formula1>"Hoch,Mittel,Niedrig"</formula1>
      <formula2>0</formula2>
    </dataValidation>
  </dataValidations>
  <hyperlinks>
    <hyperlink ref="D7" r:id="rId1" display="tel:017672594167" xr:uid="{B797E897-5734-4526-A0BB-6BB41EC7B3F7}"/>
    <hyperlink ref="D8" r:id="rId2" display="tel:068519381102" xr:uid="{2A99DE40-6CF6-47E3-9A41-8350A9C2169B}"/>
    <hyperlink ref="D9" r:id="rId3" display="tel:068519123910" xr:uid="{C395C740-A8F5-45FE-8C4F-4BFDD2159438}"/>
    <hyperlink ref="D10" r:id="rId4" display="tel:068518024888" xr:uid="{938A6D4F-A4D9-4946-8A72-4E5DE1D61379}"/>
    <hyperlink ref="E13" r:id="rId5" display="mailto:info@barbershop-stwendel.de" xr:uid="{27FE2365-D45C-4A51-B9F2-A7660BAA0FA3}"/>
    <hyperlink ref="E12" r:id="rId6" display="mailto:haartradition@voborsky.de" xr:uid="{7E1FC910-446A-48B6-BE58-CCBE3FBEF6C9}"/>
  </hyperlinks>
  <pageMargins left="0.75" right="0.75" top="1" bottom="1" header="0.511811023622047" footer="0.511811023622047"/>
  <pageSetup paperSize="9" orientation="portrait" horizontalDpi="300" verticalDpi="300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zoomScaleNormal="100" workbookViewId="0"/>
  </sheetViews>
  <sheetFormatPr baseColWidth="10" defaultColWidth="8.7109375" defaultRowHeight="15" x14ac:dyDescent="0.25"/>
  <cols>
    <col min="1" max="1" width="26" customWidth="1"/>
    <col min="2" max="2" width="14" customWidth="1"/>
  </cols>
  <sheetData>
    <row r="1" spans="1:2" ht="20.25" x14ac:dyDescent="0.3">
      <c r="A1" s="1" t="s">
        <v>31</v>
      </c>
    </row>
    <row r="3" spans="1:2" x14ac:dyDescent="0.25">
      <c r="A3" s="10" t="s">
        <v>11</v>
      </c>
      <c r="B3" s="10" t="s">
        <v>32</v>
      </c>
    </row>
    <row r="4" spans="1:2" x14ac:dyDescent="0.25">
      <c r="A4" s="11" t="s">
        <v>27</v>
      </c>
      <c r="B4" s="12">
        <f>COUNTIF(Leads!$J$5:$J$64,A4)</f>
        <v>9</v>
      </c>
    </row>
    <row r="5" spans="1:2" x14ac:dyDescent="0.25">
      <c r="A5" s="11" t="s">
        <v>33</v>
      </c>
      <c r="B5" s="12">
        <f>COUNTIF(Leads!$J$5:$J$64,A5)</f>
        <v>0</v>
      </c>
    </row>
    <row r="6" spans="1:2" x14ac:dyDescent="0.25">
      <c r="A6" s="11" t="s">
        <v>34</v>
      </c>
      <c r="B6" s="12">
        <f>COUNTIF(Leads!$J$5:$J$64,A6)</f>
        <v>0</v>
      </c>
    </row>
    <row r="7" spans="1:2" x14ac:dyDescent="0.25">
      <c r="A7" s="11" t="s">
        <v>35</v>
      </c>
      <c r="B7" s="12">
        <f>COUNTIF(Leads!$J$5:$J$64,A7)</f>
        <v>0</v>
      </c>
    </row>
    <row r="8" spans="1:2" x14ac:dyDescent="0.25">
      <c r="A8" s="11" t="s">
        <v>36</v>
      </c>
      <c r="B8" s="12">
        <f>COUNTIF(Leads!$J$5:$J$64,A8)</f>
        <v>0</v>
      </c>
    </row>
    <row r="9" spans="1:2" x14ac:dyDescent="0.25">
      <c r="A9" s="11" t="s">
        <v>37</v>
      </c>
      <c r="B9" s="12">
        <f>COUNTIF(Leads!$J$5:$J$64,A9)</f>
        <v>0</v>
      </c>
    </row>
    <row r="10" spans="1:2" x14ac:dyDescent="0.25">
      <c r="A10" s="11" t="s">
        <v>38</v>
      </c>
      <c r="B10" s="12">
        <f>COUNTIF(Leads!$J$5:$J$64,A10)</f>
        <v>0</v>
      </c>
    </row>
    <row r="11" spans="1:2" x14ac:dyDescent="0.25">
      <c r="A11" s="13" t="s">
        <v>39</v>
      </c>
      <c r="B11" s="14">
        <f>COUNTA(Leads!$A$5:$A$64)-1</f>
        <v>8</v>
      </c>
    </row>
    <row r="12" spans="1:2" ht="15.75" x14ac:dyDescent="0.25">
      <c r="A12" s="15" t="s">
        <v>40</v>
      </c>
    </row>
    <row r="13" spans="1:2" x14ac:dyDescent="0.25">
      <c r="A13" s="16" t="s">
        <v>41</v>
      </c>
      <c r="B13" s="17">
        <f>SUMIF(Leads!$J$5:$J$64,"Kunde gewonnen",Leads!$N$5:$N$64)</f>
        <v>0</v>
      </c>
    </row>
    <row r="14" spans="1:2" x14ac:dyDescent="0.25">
      <c r="A14" s="16" t="s">
        <v>42</v>
      </c>
      <c r="B14" s="17">
        <f>SUMIF(Leads!$J$5:$J$64,"Kunde gewonnen",Leads!$O$5:$O$64)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2"/>
  <sheetViews>
    <sheetView zoomScaleNormal="100" workbookViewId="0"/>
  </sheetViews>
  <sheetFormatPr baseColWidth="10" defaultColWidth="8.7109375" defaultRowHeight="15" x14ac:dyDescent="0.25"/>
  <cols>
    <col min="1" max="1" width="4" customWidth="1"/>
    <col min="2" max="2" width="70" customWidth="1"/>
  </cols>
  <sheetData>
    <row r="1" spans="1:2" ht="20.25" x14ac:dyDescent="0.3">
      <c r="B1" s="1" t="s">
        <v>43</v>
      </c>
    </row>
    <row r="3" spans="1:2" ht="15.75" x14ac:dyDescent="0.25">
      <c r="B3" s="15" t="s">
        <v>44</v>
      </c>
    </row>
    <row r="4" spans="1:2" x14ac:dyDescent="0.25">
      <c r="A4" s="18" t="s">
        <v>45</v>
      </c>
      <c r="B4" s="19" t="s">
        <v>46</v>
      </c>
    </row>
    <row r="5" spans="1:2" x14ac:dyDescent="0.25">
      <c r="A5" s="18" t="s">
        <v>45</v>
      </c>
      <c r="B5" s="19" t="s">
        <v>47</v>
      </c>
    </row>
    <row r="6" spans="1:2" x14ac:dyDescent="0.25">
      <c r="A6" s="18" t="s">
        <v>45</v>
      </c>
      <c r="B6" s="19" t="s">
        <v>48</v>
      </c>
    </row>
    <row r="7" spans="1:2" ht="25.5" x14ac:dyDescent="0.25">
      <c r="A7" s="18" t="s">
        <v>45</v>
      </c>
      <c r="B7" s="19" t="s">
        <v>49</v>
      </c>
    </row>
    <row r="8" spans="1:2" x14ac:dyDescent="0.25">
      <c r="A8" s="18" t="s">
        <v>45</v>
      </c>
      <c r="B8" s="19" t="s">
        <v>50</v>
      </c>
    </row>
    <row r="9" spans="1:2" x14ac:dyDescent="0.25">
      <c r="A9" s="18" t="s">
        <v>45</v>
      </c>
      <c r="B9" s="19" t="s">
        <v>51</v>
      </c>
    </row>
    <row r="11" spans="1:2" ht="15.75" x14ac:dyDescent="0.25">
      <c r="B11" s="15" t="s">
        <v>52</v>
      </c>
    </row>
    <row r="12" spans="1:2" x14ac:dyDescent="0.25">
      <c r="A12" s="18" t="s">
        <v>45</v>
      </c>
      <c r="B12" s="19" t="s">
        <v>53</v>
      </c>
    </row>
    <row r="13" spans="1:2" x14ac:dyDescent="0.25">
      <c r="A13" s="18" t="s">
        <v>45</v>
      </c>
      <c r="B13" s="19" t="s">
        <v>54</v>
      </c>
    </row>
    <row r="14" spans="1:2" x14ac:dyDescent="0.25">
      <c r="A14" s="18" t="s">
        <v>45</v>
      </c>
      <c r="B14" s="19" t="s">
        <v>55</v>
      </c>
    </row>
    <row r="15" spans="1:2" x14ac:dyDescent="0.25">
      <c r="A15" s="18" t="s">
        <v>45</v>
      </c>
      <c r="B15" s="19" t="s">
        <v>56</v>
      </c>
    </row>
    <row r="16" spans="1:2" ht="25.5" x14ac:dyDescent="0.25">
      <c r="A16" s="18" t="s">
        <v>45</v>
      </c>
      <c r="B16" s="19" t="s">
        <v>57</v>
      </c>
    </row>
    <row r="18" spans="1:2" ht="15.75" x14ac:dyDescent="0.25">
      <c r="B18" s="15" t="s">
        <v>58</v>
      </c>
    </row>
    <row r="19" spans="1:2" x14ac:dyDescent="0.25">
      <c r="A19" s="18" t="s">
        <v>45</v>
      </c>
      <c r="B19" s="19" t="s">
        <v>59</v>
      </c>
    </row>
    <row r="20" spans="1:2" x14ac:dyDescent="0.25">
      <c r="A20" s="18" t="s">
        <v>45</v>
      </c>
      <c r="B20" s="19" t="s">
        <v>60</v>
      </c>
    </row>
    <row r="21" spans="1:2" x14ac:dyDescent="0.25">
      <c r="A21" s="18" t="s">
        <v>45</v>
      </c>
      <c r="B21" s="19" t="s">
        <v>61</v>
      </c>
    </row>
    <row r="22" spans="1:2" x14ac:dyDescent="0.25">
      <c r="A22" s="18" t="s">
        <v>45</v>
      </c>
      <c r="B22" s="19" t="s">
        <v>62</v>
      </c>
    </row>
    <row r="23" spans="1:2" x14ac:dyDescent="0.25">
      <c r="A23" s="18" t="s">
        <v>45</v>
      </c>
      <c r="B23" s="19" t="s">
        <v>63</v>
      </c>
    </row>
    <row r="25" spans="1:2" ht="15.75" x14ac:dyDescent="0.25">
      <c r="B25" s="15" t="s">
        <v>64</v>
      </c>
    </row>
    <row r="26" spans="1:2" x14ac:dyDescent="0.25">
      <c r="A26" s="18" t="s">
        <v>45</v>
      </c>
      <c r="B26" s="19" t="s">
        <v>65</v>
      </c>
    </row>
    <row r="27" spans="1:2" x14ac:dyDescent="0.25">
      <c r="A27" s="18" t="s">
        <v>45</v>
      </c>
      <c r="B27" s="19" t="s">
        <v>66</v>
      </c>
    </row>
    <row r="28" spans="1:2" x14ac:dyDescent="0.25">
      <c r="A28" s="18" t="s">
        <v>45</v>
      </c>
      <c r="B28" s="19" t="s">
        <v>67</v>
      </c>
    </row>
    <row r="29" spans="1:2" x14ac:dyDescent="0.25">
      <c r="A29" s="18" t="s">
        <v>45</v>
      </c>
      <c r="B29" s="19" t="s">
        <v>68</v>
      </c>
    </row>
    <row r="30" spans="1:2" x14ac:dyDescent="0.25">
      <c r="A30" s="18" t="s">
        <v>45</v>
      </c>
      <c r="B30" s="19" t="s">
        <v>69</v>
      </c>
    </row>
    <row r="32" spans="1:2" x14ac:dyDescent="0.25">
      <c r="B32" s="2" t="s">
        <v>70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Leads</vt:lpstr>
      <vt:lpstr>Übersicht</vt:lpstr>
      <vt:lpstr>Checkliste &amp; Preise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Leon Thies</cp:lastModifiedBy>
  <cp:revision>0</cp:revision>
  <dcterms:created xsi:type="dcterms:W3CDTF">2026-06-04T17:08:30Z</dcterms:created>
  <dcterms:modified xsi:type="dcterms:W3CDTF">2026-06-06T12:42:53Z</dcterms:modified>
  <dc:language>en-US</dc:language>
</cp:coreProperties>
</file>